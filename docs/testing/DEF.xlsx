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3CCA39B1-2654-4AD9-AA92-C5103B6E19D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EF Tracker" sheetId="1" r:id="rId1"/>
    <sheet name="Summary" sheetId="2" r:id="rId2"/>
  </sheets>
  <definedNames>
    <definedName name="_xlnm._FilterDatabase" localSheetId="0" hidden="1">'DEF Tracker'!$A$1:$I$11</definedName>
  </definedNames>
  <calcPr calcId="181029"/>
</workbook>
</file>

<file path=xl/calcChain.xml><?xml version="1.0" encoding="utf-8"?>
<calcChain xmlns="http://schemas.openxmlformats.org/spreadsheetml/2006/main">
  <c r="B12" i="2" l="1"/>
  <c r="B11" i="2"/>
  <c r="B10" i="2"/>
  <c r="B9" i="2"/>
  <c r="B8" i="2"/>
  <c r="B7" i="2"/>
  <c r="B6" i="2"/>
  <c r="B5" i="2"/>
  <c r="B4" i="2"/>
  <c r="B3" i="2"/>
  <c r="B2" i="2"/>
</calcChain>
</file>

<file path=xl/sharedStrings.xml><?xml version="1.0" encoding="utf-8"?>
<sst xmlns="http://schemas.openxmlformats.org/spreadsheetml/2006/main" count="114" uniqueCount="77">
  <si>
    <t>DEF ID</t>
  </si>
  <si>
    <t>Module</t>
  </si>
  <si>
    <t>Type</t>
  </si>
  <si>
    <t>Chức năng</t>
  </si>
  <si>
    <t>Tiêu đề lỗi</t>
  </si>
  <si>
    <t>Test Case liên quan</t>
  </si>
  <si>
    <t>Mô tả lỗi / Actual</t>
  </si>
  <si>
    <t>Severity</t>
  </si>
  <si>
    <t>Status</t>
  </si>
  <si>
    <t>DEF-API-AUTH-001</t>
  </si>
  <si>
    <t>AUTH</t>
  </si>
  <si>
    <t>API</t>
  </si>
  <si>
    <t>Đăng ký</t>
  </si>
  <si>
    <t>Thiếu validation trường bắt buộc khi đăng ký</t>
  </si>
  <si>
    <t>TC_API_AUTH_007, TC_API_AUTH_008, TC_API_AUTH_009, TC_API_AUTH_010, TC_API_AUTH_011</t>
  </si>
  <si>
    <t>Backend trả HTTP 500 thay vì 400 khi thiếu fullName/phone/username/password hoặc body rỗng.</t>
  </si>
  <si>
    <t>High</t>
  </si>
  <si>
    <t>Open</t>
  </si>
  <si>
    <t>DEF-API-AUTH-003</t>
  </si>
  <si>
    <t>Đăng nhập</t>
  </si>
  <si>
    <t>Không chặn tài khoản có status BLOCKED</t>
  </si>
  <si>
    <t>TC_API_AUTH_031</t>
  </si>
  <si>
    <t>Tài khoản BLOCKED vẫn đăng nhập thành công và được cấp token; thực tế HTTP 200 thay vì 403.</t>
  </si>
  <si>
    <t>DEF-API-CAT-001</t>
  </si>
  <si>
    <t>CAT</t>
  </si>
  <si>
    <t>Tạo danh mục</t>
  </si>
  <si>
    <t>Cho phép name là chuỗi rỗng</t>
  </si>
  <si>
    <t>TC_API_CAT_006</t>
  </si>
  <si>
    <t>POST /api/categories với name = '' vẫn tạo thành công, trả HTTP 201 thay vì 400.</t>
  </si>
  <si>
    <t>Medium</t>
  </si>
  <si>
    <t>DEF-API-CAT-002</t>
  </si>
  <si>
    <t>Cập nhật danh mục</t>
  </si>
  <si>
    <t>Cho phép name là chuỗi rỗng khi cập nhật</t>
  </si>
  <si>
    <t>TC_API_CAT_032</t>
  </si>
  <si>
    <t>PUT /api/categories/2 với name = '' vẫn trả HTTP 200 thay vì 400.</t>
  </si>
  <si>
    <t>DEF-API-CAT-003</t>
  </si>
  <si>
    <t>Xóa danh mục</t>
  </si>
  <si>
    <t>Không xử lý ràng buộc khóa ngoại khi xóa danh mục có sản phẩm</t>
  </si>
  <si>
    <t>TC_API_CAT_040</t>
  </si>
  <si>
    <t>Danh mục đang có sản phẩm liên kết vẫn bị xóa và trả HTTP 204 thay vì báo lỗi ràng buộc.</t>
  </si>
  <si>
    <t>DEF-API-PRD-001</t>
  </si>
  <si>
    <t>PRD</t>
  </si>
  <si>
    <t>Tạo/Cập nhật món ăn</t>
  </si>
  <si>
    <t>Cho phép tên món ăn rỗng</t>
  </si>
  <si>
    <t>TC_API_PRD_010, TC_API_PRD_040</t>
  </si>
  <si>
    <t>Backend chưa kiểm tra notEmpty nên cho phép tạo/cập nhật món với name = ''.</t>
  </si>
  <si>
    <t>DEF-API-PRD-002</t>
  </si>
  <si>
    <t>Cho phép giá món ăn âm</t>
  </si>
  <si>
    <t>TC_API_PRD_012, TC_API_PRD_041</t>
  </si>
  <si>
    <t>Chưa có validation min giá nên hệ thống cho phép price âm.</t>
  </si>
  <si>
    <t>DEF-API-PRD-005</t>
  </si>
  <si>
    <t>Xóa món ăn</t>
  </si>
  <si>
    <t>Không xử lý ràng buộc khi xóa món đã được tham chiếu</t>
  </si>
  <si>
    <t>TC_API_PRD_048</t>
  </si>
  <si>
    <t>Không kiểm tra OrderItem/CartItem và không bắt lỗi khóa ngoại Sequelize, dẫn đến HTTP 500.</t>
  </si>
  <si>
    <t>DEF-API-UPL-003</t>
  </si>
  <si>
    <t>UPL</t>
  </si>
  <si>
    <t>Upload ảnh</t>
  </si>
  <si>
    <t>Cho phép upload file không phải hình ảnh</t>
  </si>
  <si>
    <t>TC_API_UPL_006</t>
  </si>
  <si>
    <t>Multer chưa có fileFilter nên file .sh/.exe/.txt/.pdf có thể được upload.</t>
  </si>
  <si>
    <t>Critical</t>
  </si>
  <si>
    <t>DEF-API-UPL-004</t>
  </si>
  <si>
    <t>Không giới hạn dung lượng file upload</t>
  </si>
  <si>
    <t>TC_API_UPL_007</t>
  </si>
  <si>
    <t>Multer chưa cấu hình fileSize 5MB nên file 25MB vẫn được chấp nhận.</t>
  </si>
  <si>
    <t>DEF SUMMARY</t>
  </si>
  <si>
    <t>Tổng số DEF</t>
  </si>
  <si>
    <t>In Progress</t>
  </si>
  <si>
    <t>Fixed</t>
  </si>
  <si>
    <t>Retest</t>
  </si>
  <si>
    <t>Closed</t>
  </si>
  <si>
    <t>Rejected</t>
  </si>
  <si>
    <t>Low</t>
  </si>
  <si>
    <t>Quy trình trạng thái</t>
  </si>
  <si>
    <t>Open → In Progress → Fixed → Retest → Closed</t>
  </si>
  <si>
    <t>Nếu Retest Fail: chuyển lại In Progress.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</si>
</sst>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/>
      <right/>
      <top/>
      <bottom style="hair">
        <color rgb="FFE7E6E6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top" wrapText="1"/>
    </xf>
    <xf numFmtId="0" fontId="1" fillId="2" borderId="1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2" fillId="0" borderId="0" xfId="0" applyFont="1"/>
    <xf numFmtId="0" fontId="0" fillId="0" borderId="0" xfId="0" applyBorder="1" applyAlignment="1">
      <alignment vertical="top" wrapText="1"/>
    </xf>
  </cellXfs>
  <cellStyles count="1">
    <cellStyle name="Normal" xfId="0" builtinId="0"/>
  </cellStyles>
  <dxfs count="18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  <border diagonalUp="0" diagonalDown="0">
        <left/>
        <right/>
        <top/>
        <bottom style="hair">
          <color rgb="FFE7E6E6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/>
        <right/>
        <top/>
        <bottom style="hair">
          <color rgb="FFE7E6E6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/>
        <right/>
        <top/>
        <bottom style="hair">
          <color rgb="FFE7E6E6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/>
        <right/>
        <top/>
        <bottom style="hair">
          <color rgb="FFE7E6E6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/>
        <right/>
        <top/>
        <bottom style="hair">
          <color rgb="FFE7E6E6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/>
        <right/>
        <top/>
        <bottom style="hair">
          <color rgb="FFE7E6E6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/>
        <right/>
        <top/>
        <bottom style="hair">
          <color rgb="FFE7E6E6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/>
        <right/>
        <top/>
        <bottom style="hair">
          <color rgb="FFE7E6E6"/>
        </bottom>
        <vertical/>
        <horizontal/>
      </border>
    </dxf>
    <dxf>
      <alignment horizontal="general" vertical="top" textRotation="0" wrapText="1" indent="0" justifyLastLine="0" shrinkToFit="0" readingOrder="0"/>
      <border diagonalUp="0" diagonalDown="0">
        <left/>
        <right/>
        <top/>
        <bottom style="hair">
          <color rgb="FFE7E6E6"/>
        </bottom>
        <vertical/>
        <horizontal/>
      </border>
    </dxf>
    <dxf>
      <border outline="0">
        <bottom style="thin">
          <color rgb="FFD9E1F2"/>
        </bottom>
      </border>
    </dxf>
    <dxf>
      <border outline="0">
        <bottom style="hair">
          <color rgb="FFE7E6E6"/>
        </bottom>
      </border>
    </dxf>
    <dxf>
      <fill>
        <patternFill patternType="solid">
          <fgColor rgb="FFFFEB9C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A44C94-0E53-4FBD-BA82-C58C0BFFA4AB}" name="Table1" displayName="Table1" ref="A1:I11" totalsRowShown="0" headerRowDxfId="0" dataDxfId="1" headerRowBorderDxfId="11" tableBorderDxfId="12">
  <autoFilter ref="A1:I11" xr:uid="{00000000-0009-0000-0000-000000000000}"/>
  <tableColumns count="9">
    <tableColumn id="1" xr3:uid="{3FA0A362-D185-4886-BAB4-426B060E68F0}" name="DEF ID" dataDxfId="10"/>
    <tableColumn id="2" xr3:uid="{120077F0-1134-4A72-9586-D0AA382CDFB2}" name="Module" dataDxfId="9"/>
    <tableColumn id="3" xr3:uid="{55060B03-E212-411C-8830-76A835137162}" name="Type" dataDxfId="8"/>
    <tableColumn id="4" xr3:uid="{37A3496A-D33E-4F57-A8CA-32DD06D473A1}" name="Chức năng" dataDxfId="7"/>
    <tableColumn id="5" xr3:uid="{9BEB26E8-B2E9-4739-9D55-F902F72DE7F9}" name="Tiêu đề lỗi" dataDxfId="6"/>
    <tableColumn id="6" xr3:uid="{40D81FDD-7E72-4C90-AABA-68038D0C5098}" name="Test Case liên quan" dataDxfId="5"/>
    <tableColumn id="7" xr3:uid="{BCCEAC5E-1092-46E6-AB2F-0F4255558404}" name="Mô tả lỗi / Actual" dataDxfId="4"/>
    <tableColumn id="8" xr3:uid="{2857AE1E-C69D-4E22-B6E3-8D312DCF5D70}" name="Severity" dataDxfId="3"/>
    <tableColumn id="9" xr3:uid="{00532713-28B7-4A9F-A372-0E63E682AB51}" name="Status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"/>
  <sheetViews>
    <sheetView tabSelected="1" zoomScaleNormal="100" workbookViewId="0">
      <pane ySplit="1" topLeftCell="A2" activePane="bottomLeft" state="frozen"/>
      <selection pane="bottomLeft" activeCell="F23" sqref="F23"/>
    </sheetView>
  </sheetViews>
  <sheetFormatPr defaultRowHeight="15" x14ac:dyDescent="0.25"/>
  <cols>
    <col min="1" max="1" width="23" customWidth="1"/>
    <col min="2" max="2" width="12" customWidth="1"/>
    <col min="3" max="3" width="10" customWidth="1"/>
    <col min="4" max="4" width="24" customWidth="1"/>
    <col min="5" max="5" width="42" customWidth="1"/>
    <col min="6" max="6" width="34" customWidth="1"/>
    <col min="7" max="7" width="70" customWidth="1"/>
    <col min="8" max="8" width="12" customWidth="1"/>
    <col min="9" max="9" width="14" customWidth="1"/>
  </cols>
  <sheetData>
    <row r="1" spans="1:9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75" x14ac:dyDescent="0.25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2" t="s">
        <v>14</v>
      </c>
      <c r="G2" s="2" t="s">
        <v>15</v>
      </c>
      <c r="H2" s="2" t="s">
        <v>16</v>
      </c>
      <c r="I2" s="2" t="s">
        <v>69</v>
      </c>
    </row>
    <row r="3" spans="1:9" ht="30" x14ac:dyDescent="0.25">
      <c r="A3" s="2" t="s">
        <v>18</v>
      </c>
      <c r="B3" s="2" t="s">
        <v>10</v>
      </c>
      <c r="C3" s="2" t="s">
        <v>11</v>
      </c>
      <c r="D3" s="2" t="s">
        <v>19</v>
      </c>
      <c r="E3" s="2" t="s">
        <v>20</v>
      </c>
      <c r="F3" s="2" t="s">
        <v>21</v>
      </c>
      <c r="G3" s="2" t="s">
        <v>22</v>
      </c>
      <c r="H3" s="2" t="s">
        <v>16</v>
      </c>
      <c r="I3" s="2" t="s">
        <v>69</v>
      </c>
    </row>
    <row r="4" spans="1:9" ht="30" x14ac:dyDescent="0.25">
      <c r="A4" s="2" t="s">
        <v>23</v>
      </c>
      <c r="B4" s="2" t="s">
        <v>24</v>
      </c>
      <c r="C4" s="2" t="s">
        <v>11</v>
      </c>
      <c r="D4" s="2" t="s">
        <v>25</v>
      </c>
      <c r="E4" s="2" t="s">
        <v>26</v>
      </c>
      <c r="F4" s="2" t="s">
        <v>27</v>
      </c>
      <c r="G4" s="2" t="s">
        <v>28</v>
      </c>
      <c r="H4" s="2" t="s">
        <v>29</v>
      </c>
      <c r="I4" s="2" t="s">
        <v>69</v>
      </c>
    </row>
    <row r="5" spans="1:9" x14ac:dyDescent="0.25">
      <c r="A5" s="2" t="s">
        <v>30</v>
      </c>
      <c r="B5" s="2" t="s">
        <v>24</v>
      </c>
      <c r="C5" s="2" t="s">
        <v>11</v>
      </c>
      <c r="D5" s="2" t="s">
        <v>31</v>
      </c>
      <c r="E5" s="2" t="s">
        <v>32</v>
      </c>
      <c r="F5" s="2" t="s">
        <v>33</v>
      </c>
      <c r="G5" s="2" t="s">
        <v>34</v>
      </c>
      <c r="H5" s="2" t="s">
        <v>29</v>
      </c>
      <c r="I5" s="2" t="s">
        <v>69</v>
      </c>
    </row>
    <row r="6" spans="1:9" ht="30" x14ac:dyDescent="0.25">
      <c r="A6" s="2" t="s">
        <v>35</v>
      </c>
      <c r="B6" s="2" t="s">
        <v>24</v>
      </c>
      <c r="C6" s="2" t="s">
        <v>11</v>
      </c>
      <c r="D6" s="2" t="s">
        <v>36</v>
      </c>
      <c r="E6" s="2" t="s">
        <v>37</v>
      </c>
      <c r="F6" s="2" t="s">
        <v>38</v>
      </c>
      <c r="G6" s="2" t="s">
        <v>39</v>
      </c>
      <c r="H6" s="2" t="s">
        <v>16</v>
      </c>
      <c r="I6" s="2" t="s">
        <v>69</v>
      </c>
    </row>
    <row r="7" spans="1:9" ht="30" x14ac:dyDescent="0.25">
      <c r="A7" s="2" t="s">
        <v>40</v>
      </c>
      <c r="B7" s="2" t="s">
        <v>41</v>
      </c>
      <c r="C7" s="2" t="s">
        <v>11</v>
      </c>
      <c r="D7" s="2" t="s">
        <v>42</v>
      </c>
      <c r="E7" s="2" t="s">
        <v>43</v>
      </c>
      <c r="F7" s="2" t="s">
        <v>44</v>
      </c>
      <c r="G7" s="2" t="s">
        <v>45</v>
      </c>
      <c r="H7" s="2" t="s">
        <v>29</v>
      </c>
      <c r="I7" s="2" t="s">
        <v>69</v>
      </c>
    </row>
    <row r="8" spans="1:9" x14ac:dyDescent="0.25">
      <c r="A8" s="2" t="s">
        <v>46</v>
      </c>
      <c r="B8" s="2" t="s">
        <v>41</v>
      </c>
      <c r="C8" s="2" t="s">
        <v>11</v>
      </c>
      <c r="D8" s="2" t="s">
        <v>42</v>
      </c>
      <c r="E8" s="2" t="s">
        <v>47</v>
      </c>
      <c r="F8" s="2" t="s">
        <v>48</v>
      </c>
      <c r="G8" s="2" t="s">
        <v>49</v>
      </c>
      <c r="H8" s="2" t="s">
        <v>16</v>
      </c>
      <c r="I8" s="2" t="s">
        <v>69</v>
      </c>
    </row>
    <row r="9" spans="1:9" ht="30" x14ac:dyDescent="0.25">
      <c r="A9" s="2" t="s">
        <v>50</v>
      </c>
      <c r="B9" s="2" t="s">
        <v>41</v>
      </c>
      <c r="C9" s="2" t="s">
        <v>11</v>
      </c>
      <c r="D9" s="2" t="s">
        <v>51</v>
      </c>
      <c r="E9" s="2" t="s">
        <v>52</v>
      </c>
      <c r="F9" s="2" t="s">
        <v>53</v>
      </c>
      <c r="G9" s="2" t="s">
        <v>54</v>
      </c>
      <c r="H9" s="2" t="s">
        <v>16</v>
      </c>
      <c r="I9" s="2" t="s">
        <v>69</v>
      </c>
    </row>
    <row r="10" spans="1:9" x14ac:dyDescent="0.25">
      <c r="A10" s="2" t="s">
        <v>55</v>
      </c>
      <c r="B10" s="2" t="s">
        <v>56</v>
      </c>
      <c r="C10" s="2" t="s">
        <v>11</v>
      </c>
      <c r="D10" s="2" t="s">
        <v>57</v>
      </c>
      <c r="E10" s="2" t="s">
        <v>58</v>
      </c>
      <c r="F10" s="2" t="s">
        <v>59</v>
      </c>
      <c r="G10" s="2" t="s">
        <v>60</v>
      </c>
      <c r="H10" s="2" t="s">
        <v>61</v>
      </c>
      <c r="I10" s="2" t="s">
        <v>69</v>
      </c>
    </row>
    <row r="11" spans="1:9" x14ac:dyDescent="0.25">
      <c r="A11" s="6" t="s">
        <v>62</v>
      </c>
      <c r="B11" s="6" t="s">
        <v>56</v>
      </c>
      <c r="C11" s="6" t="s">
        <v>11</v>
      </c>
      <c r="D11" s="6" t="s">
        <v>57</v>
      </c>
      <c r="E11" s="6" t="s">
        <v>63</v>
      </c>
      <c r="F11" s="6" t="s">
        <v>64</v>
      </c>
      <c r="G11" s="6" t="s">
        <v>65</v>
      </c>
      <c r="H11" s="6" t="s">
        <v>16</v>
      </c>
      <c r="I11" s="6" t="s">
        <v>69</v>
      </c>
    </row>
  </sheetData>
  <conditionalFormatting sqref="I2:I1000">
    <cfRule type="cellIs" dxfId="17" priority="1" operator="equal">
      <formula>"Fixed"</formula>
    </cfRule>
    <cfRule type="cellIs" dxfId="16" priority="2" operator="equal">
      <formula>"Closed"</formula>
    </cfRule>
    <cfRule type="cellIs" dxfId="15" priority="3" operator="equal">
      <formula>"Open"</formula>
    </cfRule>
    <cfRule type="cellIs" dxfId="14" priority="4" operator="equal">
      <formula>"In Progress"</formula>
    </cfRule>
    <cfRule type="cellIs" dxfId="13" priority="5" operator="equal">
      <formula>"Retest"</formula>
    </cfRule>
  </conditionalFormatting>
  <dataValidations count="2">
    <dataValidation type="list" allowBlank="1" sqref="I2:I1000" xr:uid="{00000000-0002-0000-0000-000000000000}">
      <formula1>"Open,In Progress,Fixed,Retest,Closed,Rejected"</formula1>
    </dataValidation>
    <dataValidation type="list" allowBlank="1" sqref="H2:H1000" xr:uid="{00000000-0002-0000-0000-000001000000}">
      <formula1>"Critical,High,Medium,Low"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7"/>
  <sheetViews>
    <sheetView workbookViewId="0"/>
  </sheetViews>
  <sheetFormatPr defaultRowHeight="15" x14ac:dyDescent="0.25"/>
  <cols>
    <col min="1" max="1" width="55" customWidth="1"/>
    <col min="2" max="2" width="18" customWidth="1"/>
  </cols>
  <sheetData>
    <row r="1" spans="1:2" x14ac:dyDescent="0.25">
      <c r="A1" s="3" t="s">
        <v>66</v>
      </c>
      <c r="B1" s="3"/>
    </row>
    <row r="2" spans="1:2" x14ac:dyDescent="0.25">
      <c r="A2" s="4" t="s">
        <v>67</v>
      </c>
      <c r="B2" s="4">
        <f>COUNTA('DEF Tracker'!A2:A1000)</f>
        <v>10</v>
      </c>
    </row>
    <row r="3" spans="1:2" x14ac:dyDescent="0.25">
      <c r="A3" s="4" t="s">
        <v>17</v>
      </c>
      <c r="B3" s="4">
        <f>COUNTIF('DEF Tracker'!I:I,"Open")</f>
        <v>0</v>
      </c>
    </row>
    <row r="4" spans="1:2" x14ac:dyDescent="0.25">
      <c r="A4" s="4" t="s">
        <v>68</v>
      </c>
      <c r="B4" s="4">
        <f>COUNTIF('DEF Tracker'!I:I,"In Progress")</f>
        <v>0</v>
      </c>
    </row>
    <row r="5" spans="1:2" x14ac:dyDescent="0.25">
      <c r="A5" s="4" t="s">
        <v>69</v>
      </c>
      <c r="B5" s="4">
        <f>COUNTIF('DEF Tracker'!I:I,"Fixed")</f>
        <v>10</v>
      </c>
    </row>
    <row r="6" spans="1:2" x14ac:dyDescent="0.25">
      <c r="A6" s="4" t="s">
        <v>70</v>
      </c>
      <c r="B6" s="4">
        <f>COUNTIF('DEF Tracker'!I:I,"Retest")</f>
        <v>0</v>
      </c>
    </row>
    <row r="7" spans="1:2" x14ac:dyDescent="0.25">
      <c r="A7" s="4" t="s">
        <v>71</v>
      </c>
      <c r="B7" s="4">
        <f>COUNTIF('DEF Tracker'!I:I,"Closed")</f>
        <v>0</v>
      </c>
    </row>
    <row r="8" spans="1:2" x14ac:dyDescent="0.25">
      <c r="A8" s="4" t="s">
        <v>72</v>
      </c>
      <c r="B8" s="4">
        <f>COUNTIF('DEF Tracker'!I:I,"Rejected")</f>
        <v>0</v>
      </c>
    </row>
    <row r="9" spans="1:2" x14ac:dyDescent="0.25">
      <c r="A9" s="4" t="s">
        <v>61</v>
      </c>
      <c r="B9" s="4">
        <f>COUNTIF('DEF Tracker'!H:H,"Critical")</f>
        <v>1</v>
      </c>
    </row>
    <row r="10" spans="1:2" x14ac:dyDescent="0.25">
      <c r="A10" s="4" t="s">
        <v>16</v>
      </c>
      <c r="B10" s="4">
        <f>COUNTIF('DEF Tracker'!H:H,"High")</f>
        <v>6</v>
      </c>
    </row>
    <row r="11" spans="1:2" x14ac:dyDescent="0.25">
      <c r="A11" s="4" t="s">
        <v>29</v>
      </c>
      <c r="B11" s="4">
        <f>COUNTIF('DEF Tracker'!H:H,"Medium")</f>
        <v>3</v>
      </c>
    </row>
    <row r="12" spans="1:2" x14ac:dyDescent="0.25">
      <c r="A12" s="4" t="s">
        <v>73</v>
      </c>
      <c r="B12" s="4">
        <f>COUNTIF('DEF Tracker'!H:H,"Low")</f>
        <v>0</v>
      </c>
    </row>
    <row r="15" spans="1:2" x14ac:dyDescent="0.25">
      <c r="A15" s="5" t="s">
        <v>74</v>
      </c>
    </row>
    <row r="16" spans="1:2" x14ac:dyDescent="0.25">
      <c r="A16" t="s">
        <v>75</v>
      </c>
    </row>
    <row r="17" spans="1:1" x14ac:dyDescent="0.25">
      <c r="A17" t="s">
        <v>76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 Tracker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Huy Nguyễn Anh</cp:lastModifiedBy>
  <dcterms:created xsi:type="dcterms:W3CDTF">2026-09-07T14:50:23Z</dcterms:created>
  <dcterms:modified xsi:type="dcterms:W3CDTF">2026-09-07T14:53:55Z</dcterms:modified>
</cp:coreProperties>
</file>